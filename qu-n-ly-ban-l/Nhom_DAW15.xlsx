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0206C415-1607-4181-B965-6CDCD5A78FF3}" xr6:coauthVersionLast="47" xr6:coauthVersionMax="47" xr10:uidLastSave="{00000000-0000-0000-0000-000000000000}"/>
  <bookViews>
    <workbookView xWindow="-108" yWindow="-108" windowWidth="23256" windowHeight="12456" xr2:uid="{25F99F4D-F94A-094A-BF6F-ADE6A624E715}"/>
  </bookViews>
  <sheets>
    <sheet name="Đánh giá" sheetId="1" r:id="rId1"/>
    <sheet name="Phân công" sheetId="2" r:id="rId2"/>
  </sheets>
  <definedNames>
    <definedName name="_Hlk95387418" localSheetId="0">'Đánh giá'!$A$14</definedName>
    <definedName name="_Hlk95404681" localSheetId="0">'Đánh giá'!$A$24</definedName>
    <definedName name="_Hlk95404689" localSheetId="0">'Đánh giá'!$A$21</definedName>
    <definedName name="_Hlk95409681" localSheetId="0">'Đánh giá'!$A$27</definedName>
    <definedName name="_Hlk95413684" localSheetId="0">'Đánh giá'!$A$15</definedName>
    <definedName name="_Hlk95414246" localSheetId="0">'Đánh giá'!$A$12</definedName>
    <definedName name="_Hlk95414577" localSheetId="0">'Đánh giá'!$A$16</definedName>
    <definedName name="_Hlk95414605" localSheetId="0">'Đánh giá'!$A$18</definedName>
    <definedName name="_Hlk95414608" localSheetId="0">'Đánh giá'!$A$20</definedName>
    <definedName name="_Hlk95414766" localSheetId="0">'Đánh giá'!$A$33</definedName>
    <definedName name="_Hlk95414794" localSheetId="0">'Đánh giá'!$A$22</definedName>
    <definedName name="_Hlk95414989" localSheetId="0">'Đánh giá'!$A$35</definedName>
    <definedName name="_Hlk95415613" localSheetId="0">'Đánh giá'!$A$32</definedName>
    <definedName name="_Hlk96003479" localSheetId="0">'Đánh giá'!#REF!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3" i="1" l="1"/>
  <c r="L22" i="1"/>
  <c r="L21" i="1"/>
  <c r="L17" i="1"/>
  <c r="L15" i="1"/>
  <c r="L14" i="1"/>
  <c r="L13" i="1"/>
  <c r="J50" i="1" l="1"/>
  <c r="J45" i="1"/>
  <c r="J38" i="1"/>
  <c r="J33" i="1"/>
  <c r="J27" i="1"/>
  <c r="J19" i="1"/>
  <c r="J11" i="1"/>
  <c r="I50" i="1"/>
  <c r="I45" i="1"/>
  <c r="I38" i="1"/>
  <c r="I33" i="1"/>
  <c r="I27" i="1"/>
  <c r="I19" i="1"/>
  <c r="I11" i="1"/>
  <c r="H50" i="1"/>
  <c r="H45" i="1"/>
  <c r="H38" i="1"/>
  <c r="H33" i="1"/>
  <c r="H27" i="1"/>
  <c r="H19" i="1"/>
  <c r="H11" i="1"/>
  <c r="G50" i="1"/>
  <c r="G45" i="1"/>
  <c r="G38" i="1"/>
  <c r="G33" i="1"/>
  <c r="G27" i="1"/>
  <c r="G19" i="1"/>
  <c r="G11" i="1"/>
  <c r="C54" i="1"/>
  <c r="L19" i="1" l="1"/>
  <c r="G54" i="1"/>
  <c r="I54" i="1"/>
  <c r="H54" i="1"/>
  <c r="J54" i="1"/>
</calcChain>
</file>

<file path=xl/sharedStrings.xml><?xml version="1.0" encoding="utf-8"?>
<sst xmlns="http://schemas.openxmlformats.org/spreadsheetml/2006/main" count="190" uniqueCount="94">
  <si>
    <t>Thành viên</t>
  </si>
  <si>
    <t>Họ tên</t>
  </si>
  <si>
    <t>MSSV</t>
  </si>
  <si>
    <t>SĐT</t>
  </si>
  <si>
    <t>Ghi chú</t>
  </si>
  <si>
    <t>Ký hiệu</t>
  </si>
  <si>
    <t>TV1</t>
  </si>
  <si>
    <t>TV2</t>
  </si>
  <si>
    <t>TV3</t>
  </si>
  <si>
    <t>TV4</t>
  </si>
  <si>
    <t>STT</t>
  </si>
  <si>
    <t>FUNCTIONALITY</t>
  </si>
  <si>
    <t>POINT</t>
  </si>
  <si>
    <t>0 PT</t>
  </si>
  <si>
    <t>1/2 PT</t>
  </si>
  <si>
    <t>FULL POINT</t>
  </si>
  <si>
    <t>ACCOUNT MANAGEMENT</t>
  </si>
  <si>
    <t>Create an account for a salesperson</t>
  </si>
  <si>
    <t>The feature is not available or it does not work at all or it is done completely wrong</t>
  </si>
  <si>
    <t>The feature has been implemented but it is not working properly or there are still some serious bugs</t>
  </si>
  <si>
    <t>The feature has correctly been implemented as required, with no bugs or only insignificant bugs.</t>
  </si>
  <si>
    <t>Send email automatically after creating new account</t>
  </si>
  <si>
    <t>The login link is valid for 1 minute</t>
  </si>
  <si>
    <t>New employees must log in via the link in the email</t>
  </si>
  <si>
    <t>The feature has correctly implemented as required, wit˙h no bugs or only insignificant bugs.</t>
  </si>
  <si>
    <t>Login feature</t>
  </si>
  <si>
    <t>Force creating a new password on first login</t>
  </si>
  <si>
    <t>For new employees: can only access system functions after creating a new password</t>
  </si>
  <si>
    <t>USER MANAGEMENT</t>
  </si>
  <si>
    <t>Admin: View staff list</t>
  </si>
  <si>
    <t>Admin: View details of an employee</t>
  </si>
  <si>
    <t>Admin: Resend a 1 minute login email</t>
  </si>
  <si>
    <t>Admin: Lock/unlock employee accounts</t>
  </si>
  <si>
    <t>All employees see their profile information</t>
  </si>
  <si>
    <t>Update profile picture</t>
  </si>
  <si>
    <t>Change password</t>
  </si>
  <si>
    <t>PRODUCT MANAGEMENT</t>
  </si>
  <si>
    <t>Admin view product list</t>
  </si>
  <si>
    <t>Employee view product list</t>
  </si>
  <si>
    <t>Add a new product</t>
  </si>
  <si>
    <t>Edit products’ information</t>
  </si>
  <si>
    <t>Delete a product</t>
  </si>
  <si>
    <t>CUSTOMER MANAGEMENT</t>
  </si>
  <si>
    <t>Customer's account is created automatically on first purchase</t>
  </si>
  <si>
    <t>View customer's personal information</t>
  </si>
  <si>
    <t>View customer purchase history</t>
  </si>
  <si>
    <t>View details of a customer's order</t>
  </si>
  <si>
    <t>TRANSACTION PROCESSING</t>
  </si>
  <si>
    <t>Transaction Processing: displays a list of currently selected products, along with related information</t>
  </si>
  <si>
    <t>Add a new product to the list by searching by name.</t>
  </si>
  <si>
    <t>Add a new product to the list by entering the barcode</t>
  </si>
  <si>
    <t>The overview interface displays the necessary information of the order: product number, total amount, amount given by customer...</t>
  </si>
  <si>
    <t>Complete payment and show invoice</t>
  </si>
  <si>
    <t>Update cart information instantly when adding, removing or adjusting the quantity of a product.</t>
  </si>
  <si>
    <t>REPORTING AND ANALYTICS</t>
  </si>
  <si>
    <t>View reports by pre-fixed timelines like: today, yesterday, in 7 days, this month</t>
  </si>
  <si>
    <t>View reports for a specific period (from-to)</t>
  </si>
  <si>
    <t>Calculate and display correct aggregate report information: total amount received, number of orders, number of products</t>
  </si>
  <si>
    <t>Display the correct list of orders corresponding to the selected timeline</t>
  </si>
  <si>
    <t>OTHER REQUIREMENTS</t>
  </si>
  <si>
    <t>The interface is not beautiful</t>
  </si>
  <si>
    <t>The interface is okay, enough to use the features but not eye-catching or the interface is complicated and difficult to use.</t>
  </si>
  <si>
    <t>The interface of the website has a good investment, looks beautiful and eye-catching, the layout is clear, responsive and easy to use.</t>
  </si>
  <si>
    <t>Product deployment/packaging</t>
  </si>
  <si>
    <t>Didn't deploy/package the product or did it but got lots of errors and barely used the content</t>
  </si>
  <si>
    <t>Product development/package is available but there are still some minor bugs that are not serious, still enough for viewers to use/experience the product easily</t>
  </si>
  <si>
    <t>There is product deployment/packaging and no bugs. Users can easily access/install to view and use</t>
  </si>
  <si>
    <t>Video demonstration</t>
  </si>
  <si>
    <t>There is a demonstration/introduction video but it's done through sketchy speakers or the sound/image quality is not good</t>
  </si>
  <si>
    <t>Product demonstration/introduction video has good quality, clear sound, fully clarifies the features of the application</t>
  </si>
  <si>
    <t>User Interface
(evaluated according to the opinion of the examiner)</t>
  </si>
  <si>
    <t>TỔNG</t>
  </si>
  <si>
    <t>TỔNG ĐIỂM</t>
  </si>
  <si>
    <t>Đánh giá
TV1</t>
  </si>
  <si>
    <t>Đánh giá
TV2</t>
  </si>
  <si>
    <t>Đánh giá
TV3</t>
  </si>
  <si>
    <t>Đánh giá
TV4</t>
  </si>
  <si>
    <t>Mã nhóm</t>
  </si>
  <si>
    <t>(Xem trên ELIT)</t>
  </si>
  <si>
    <t>THANG ĐIỂM ĐÁNH GIÁ ĐỒ ÁN MÔN LẬP TRÌNH WEB &amp; ỨNG DỤNG</t>
  </si>
  <si>
    <r>
      <t xml:space="preserve">Do not submit product demonstration/introduction videos
</t>
    </r>
    <r>
      <rPr>
        <sz val="10"/>
        <color rgb="FFFF0000"/>
        <rFont val="Times New Roman"/>
        <family val="1"/>
      </rPr>
      <t>(-2 point in total)</t>
    </r>
  </si>
  <si>
    <t>Công việc</t>
  </si>
  <si>
    <t>Mức độ hoàn thành</t>
  </si>
  <si>
    <t>Nơi lấy mã nhóm: Vào ELIT, vào trang làm nhóm của đồ án sẽ thấy mục mã nhóm</t>
  </si>
  <si>
    <t>Đặt tên file đúng qui định trước khi nộp</t>
  </si>
  <si>
    <t>Các nhóm làm đề tài tự đề xuất thì copy bảng đánh giá này thêm cột "Chức năng tương đương" sau cột "POINT" để ánh xạ các tính năng của đề tài mình với chức năng trong bảng đánh giá và ghi nhận điểm vào cột của thành viên tương ứng.</t>
  </si>
  <si>
    <t>Nguyễn Thế An</t>
  </si>
  <si>
    <t>Lê Văn Triều An</t>
  </si>
  <si>
    <t>0329603382</t>
  </si>
  <si>
    <t>Hoàng Công Tài Thế</t>
  </si>
  <si>
    <t>52300065 </t>
  </si>
  <si>
    <t>0373606590</t>
  </si>
  <si>
    <t>DAW15</t>
  </si>
  <si>
    <t>0982269974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</si>
</sst>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2"/>
      <color theme="1"/>
      <name val="Calibri"/>
      <family val="2"/>
      <scheme val="minor"/>
    </font>
    <font>
      <b/>
      <sz val="12"/>
      <color theme="1"/>
      <name val="Calibri"/>
      <family val="2"/>
      <scheme val="minor"/>
    </font>
    <font>
      <sz val="12"/>
      <color theme="1"/>
      <name val="Times New Roman"/>
      <family val="1"/>
    </font>
    <font>
      <b/>
      <sz val="12"/>
      <color theme="1"/>
      <name val="Times New Roman"/>
      <family val="1"/>
    </font>
    <font>
      <b/>
      <sz val="10"/>
      <color rgb="FFFFFFFF"/>
      <name val="Times New Roman"/>
      <family val="1"/>
    </font>
    <font>
      <b/>
      <sz val="10"/>
      <color rgb="FF538135"/>
      <name val="Times New Roman"/>
      <family val="1"/>
    </font>
    <font>
      <b/>
      <sz val="11"/>
      <color rgb="FF538135"/>
      <name val="Times New Roman"/>
      <family val="1"/>
    </font>
    <font>
      <sz val="10"/>
      <color rgb="FF000000"/>
      <name val="Times New Roman"/>
      <family val="1"/>
    </font>
    <font>
      <sz val="10"/>
      <color theme="1"/>
      <name val="Times New Roman"/>
      <family val="1"/>
    </font>
    <font>
      <b/>
      <sz val="10"/>
      <color theme="1"/>
      <name val="Times New Roman"/>
      <family val="1"/>
    </font>
    <font>
      <b/>
      <sz val="10"/>
      <color rgb="FFC00000"/>
      <name val="Times New Roman"/>
      <family val="1"/>
    </font>
    <font>
      <b/>
      <sz val="12"/>
      <color rgb="FF538135"/>
      <name val="Times New Roman"/>
      <family val="1"/>
    </font>
    <font>
      <b/>
      <sz val="10"/>
      <color rgb="FF000000"/>
      <name val="Times New Roman"/>
      <family val="1"/>
    </font>
    <font>
      <b/>
      <sz val="12"/>
      <color rgb="FF000000"/>
      <name val="Times New Roman"/>
      <family val="1"/>
    </font>
    <font>
      <sz val="10"/>
      <color rgb="FFFF0000"/>
      <name val="Times New Roman"/>
      <family val="1"/>
    </font>
    <font>
      <b/>
      <sz val="13"/>
      <color theme="1"/>
      <name val="Times New Roman"/>
      <family val="1"/>
    </font>
    <font>
      <sz val="12"/>
      <color rgb="FFFF0000"/>
      <name val="Times New Roman"/>
      <family val="1"/>
    </font>
  </fonts>
  <fills count="6">
    <fill>
      <patternFill patternType="none"/>
    </fill>
    <fill>
      <patternFill patternType="gray125"/>
    </fill>
    <fill>
      <patternFill patternType="solid">
        <fgColor rgb="FFFFFF00"/>
        <bgColor indexed="64"/>
      </patternFill>
    </fill>
    <fill>
      <patternFill patternType="solid">
        <fgColor rgb="FF385623"/>
        <bgColor indexed="64"/>
      </patternFill>
    </fill>
    <fill>
      <patternFill patternType="solid">
        <fgColor rgb="FFC5E0B3"/>
        <bgColor indexed="64"/>
      </patternFill>
    </fill>
    <fill>
      <patternFill patternType="solid">
        <fgColor theme="2" tint="-9.9978637043366805E-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2">
    <xf numFmtId="0" fontId="0" fillId="0" borderId="0" xfId="0"/>
    <xf numFmtId="0" fontId="0" fillId="0" borderId="0" xfId="0" applyAlignment="1">
      <alignment horizontal="right"/>
    </xf>
    <xf numFmtId="0" fontId="0" fillId="2" borderId="1" xfId="0" applyFill="1" applyBorder="1" applyProtection="1">
      <protection locked="0"/>
    </xf>
    <xf numFmtId="0" fontId="2" fillId="0" borderId="0" xfId="0" applyFont="1"/>
    <xf numFmtId="0" fontId="0" fillId="0" borderId="0" xfId="0" applyAlignment="1">
      <alignment horizontal="center" vertical="center"/>
    </xf>
    <xf numFmtId="0" fontId="3" fillId="0" borderId="1" xfId="0" applyFont="1" applyBorder="1"/>
    <xf numFmtId="0" fontId="1" fillId="2" borderId="1" xfId="0" applyFont="1" applyFill="1" applyBorder="1" applyProtection="1">
      <protection locked="0"/>
    </xf>
    <xf numFmtId="0" fontId="2" fillId="0" borderId="1" xfId="0" applyFont="1" applyBorder="1"/>
    <xf numFmtId="0" fontId="4" fillId="3" borderId="1" xfId="0" applyFont="1" applyFill="1" applyBorder="1" applyAlignment="1">
      <alignment horizontal="center" vertical="center" wrapText="1"/>
    </xf>
    <xf numFmtId="0" fontId="6" fillId="4" borderId="1" xfId="0" applyFont="1" applyFill="1" applyBorder="1" applyAlignment="1">
      <alignment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2" fillId="2" borderId="1" xfId="0" applyFont="1" applyFill="1" applyBorder="1" applyProtection="1">
      <protection locked="0"/>
    </xf>
    <xf numFmtId="0" fontId="11" fillId="4" borderId="1" xfId="0" applyFont="1" applyFill="1" applyBorder="1" applyAlignment="1">
      <alignment vertical="center" wrapText="1"/>
    </xf>
    <xf numFmtId="0" fontId="6" fillId="4"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1" fillId="5" borderId="1" xfId="0" applyFont="1" applyFill="1" applyBorder="1" applyAlignment="1">
      <alignment horizontal="center" vertical="center"/>
    </xf>
    <xf numFmtId="0" fontId="12" fillId="5" borderId="1" xfId="0" applyFont="1" applyFill="1" applyBorder="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center" vertical="center"/>
    </xf>
    <xf numFmtId="0" fontId="15" fillId="0" borderId="1" xfId="0" applyFont="1" applyBorder="1" applyAlignment="1">
      <alignment horizontal="center" vertical="center"/>
    </xf>
    <xf numFmtId="0" fontId="0" fillId="0" borderId="1" xfId="0" applyBorder="1"/>
    <xf numFmtId="0" fontId="0" fillId="0" borderId="0" xfId="0" applyAlignment="1">
      <alignment horizontal="left" vertical="center"/>
    </xf>
    <xf numFmtId="0" fontId="3" fillId="0" borderId="0" xfId="0" applyFont="1"/>
    <xf numFmtId="0" fontId="16" fillId="0" borderId="0" xfId="0" applyFont="1" applyAlignment="1">
      <alignment vertical="top" wrapText="1"/>
    </xf>
    <xf numFmtId="0" fontId="16" fillId="0" borderId="0" xfId="0" applyFont="1" applyAlignment="1">
      <alignment vertical="top"/>
    </xf>
    <xf numFmtId="0" fontId="16" fillId="0" borderId="0" xfId="0" applyFont="1"/>
    <xf numFmtId="0" fontId="1" fillId="2" borderId="1" xfId="0" quotePrefix="1" applyFont="1" applyFill="1" applyBorder="1" applyProtection="1">
      <protection locked="0"/>
    </xf>
    <xf numFmtId="0" fontId="0" fillId="2" borderId="1" xfId="0" quotePrefix="1" applyFill="1" applyBorder="1" applyProtection="1">
      <protection locked="0"/>
    </xf>
    <xf numFmtId="0" fontId="3" fillId="0" borderId="0" xfId="0" applyFont="1" applyAlignment="1">
      <alignment horizontal="left" vertical="top" wrapText="1"/>
    </xf>
    <xf numFmtId="0" fontId="1" fillId="0" borderId="1" xfId="0" applyFont="1" applyBorder="1" applyAlignment="1">
      <alignment horizontal="center" vertical="center"/>
    </xf>
    <xf numFmtId="0" fontId="1" fillId="2" borderId="6" xfId="0" applyFont="1" applyFill="1" applyBorder="1" applyAlignment="1" applyProtection="1">
      <alignment horizontal="center"/>
      <protection locked="0"/>
    </xf>
    <xf numFmtId="0" fontId="1" fillId="2" borderId="7" xfId="0" applyFont="1" applyFill="1" applyBorder="1" applyAlignment="1" applyProtection="1">
      <alignment horizontal="center"/>
      <protection locked="0"/>
    </xf>
    <xf numFmtId="0" fontId="0" fillId="2" borderId="6" xfId="0" applyFill="1" applyBorder="1" applyAlignment="1" applyProtection="1">
      <alignment horizontal="center"/>
      <protection locked="0"/>
    </xf>
    <xf numFmtId="0" fontId="0" fillId="2" borderId="7" xfId="0" applyFill="1" applyBorder="1" applyAlignment="1" applyProtection="1">
      <alignment horizontal="center"/>
      <protection locked="0"/>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13" fillId="0" borderId="4" xfId="0" applyFont="1" applyBorder="1" applyAlignment="1">
      <alignment horizontal="center"/>
    </xf>
    <xf numFmtId="0" fontId="13" fillId="0" borderId="5" xfId="0" applyFont="1" applyBorder="1" applyAlignment="1">
      <alignment horizontal="center"/>
    </xf>
    <xf numFmtId="0" fontId="4"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50800</xdr:colOff>
      <xdr:row>2</xdr:row>
      <xdr:rowOff>52114</xdr:rowOff>
    </xdr:from>
    <xdr:to>
      <xdr:col>18</xdr:col>
      <xdr:colOff>749300</xdr:colOff>
      <xdr:row>16</xdr:row>
      <xdr:rowOff>88900</xdr:rowOff>
    </xdr:to>
    <xdr:pic>
      <xdr:nvPicPr>
        <xdr:cNvPr id="2" name="Picture 1">
          <a:extLst>
            <a:ext uri="{FF2B5EF4-FFF2-40B4-BE49-F238E27FC236}">
              <a16:creationId xmlns:a16="http://schemas.microsoft.com/office/drawing/2014/main" id="{97ECC3A9-2092-E34D-8138-A6281A6FBE63}"/>
            </a:ext>
          </a:extLst>
        </xdr:cNvPr>
        <xdr:cNvPicPr>
          <a:picLocks noChangeAspect="1"/>
        </xdr:cNvPicPr>
      </xdr:nvPicPr>
      <xdr:blipFill>
        <a:blip xmlns:r="http://schemas.openxmlformats.org/officeDocument/2006/relationships" r:embed="rId1"/>
        <a:stretch>
          <a:fillRect/>
        </a:stretch>
      </xdr:blipFill>
      <xdr:spPr>
        <a:xfrm>
          <a:off x="12192000" y="458514"/>
          <a:ext cx="6477000" cy="49135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A8845-9AD0-B549-A0AB-4EFC4820BDB3}">
  <dimension ref="A1:S54"/>
  <sheetViews>
    <sheetView tabSelected="1" topLeftCell="A46" workbookViewId="0">
      <selection activeCell="I51" sqref="I51"/>
    </sheetView>
  </sheetViews>
  <sheetFormatPr defaultColWidth="11.19921875" defaultRowHeight="15.6" x14ac:dyDescent="0.3"/>
  <cols>
    <col min="1" max="1" width="4.5" bestFit="1" customWidth="1"/>
    <col min="2" max="2" width="17.296875" customWidth="1"/>
    <col min="4" max="6" width="24.19921875" customWidth="1"/>
  </cols>
  <sheetData>
    <row r="1" spans="1:19" x14ac:dyDescent="0.3">
      <c r="B1" s="1" t="s">
        <v>77</v>
      </c>
      <c r="C1" s="2" t="s">
        <v>92</v>
      </c>
      <c r="D1" t="s">
        <v>78</v>
      </c>
      <c r="I1" s="3"/>
      <c r="J1" s="4"/>
      <c r="L1" s="27" t="s">
        <v>84</v>
      </c>
    </row>
    <row r="2" spans="1:19" x14ac:dyDescent="0.3">
      <c r="B2" s="1" t="s">
        <v>0</v>
      </c>
      <c r="C2" s="20" t="s">
        <v>2</v>
      </c>
      <c r="D2" s="20" t="s">
        <v>1</v>
      </c>
      <c r="E2" s="20" t="s">
        <v>3</v>
      </c>
      <c r="F2" s="31" t="s">
        <v>4</v>
      </c>
      <c r="G2" s="31"/>
      <c r="H2" s="5" t="s">
        <v>5</v>
      </c>
      <c r="I2" s="3"/>
      <c r="J2" s="4"/>
      <c r="L2" s="23" t="s">
        <v>83</v>
      </c>
      <c r="N2" s="3"/>
      <c r="O2" s="3"/>
    </row>
    <row r="3" spans="1:19" x14ac:dyDescent="0.3">
      <c r="C3" s="6">
        <v>52300003</v>
      </c>
      <c r="D3" s="6" t="s">
        <v>86</v>
      </c>
      <c r="E3" s="28" t="s">
        <v>93</v>
      </c>
      <c r="F3" s="32"/>
      <c r="G3" s="33"/>
      <c r="H3" s="7" t="s">
        <v>6</v>
      </c>
      <c r="I3" s="3"/>
      <c r="J3" s="4"/>
      <c r="L3" s="3"/>
      <c r="M3" s="3"/>
      <c r="N3" s="3"/>
      <c r="O3" s="4"/>
    </row>
    <row r="4" spans="1:19" x14ac:dyDescent="0.3">
      <c r="C4" s="6">
        <v>52300002</v>
      </c>
      <c r="D4" s="6" t="s">
        <v>87</v>
      </c>
      <c r="E4" s="28" t="s">
        <v>88</v>
      </c>
      <c r="F4" s="32"/>
      <c r="G4" s="33"/>
      <c r="H4" s="7" t="s">
        <v>7</v>
      </c>
      <c r="I4" s="3"/>
      <c r="J4" s="4"/>
      <c r="L4" s="3"/>
      <c r="M4" s="3"/>
      <c r="N4" s="3"/>
      <c r="O4" s="4"/>
    </row>
    <row r="5" spans="1:19" x14ac:dyDescent="0.3">
      <c r="C5" s="2" t="s">
        <v>90</v>
      </c>
      <c r="D5" s="2" t="s">
        <v>89</v>
      </c>
      <c r="E5" s="29" t="s">
        <v>91</v>
      </c>
      <c r="F5" s="34"/>
      <c r="G5" s="35"/>
      <c r="H5" s="7" t="s">
        <v>8</v>
      </c>
      <c r="I5" s="3"/>
      <c r="J5" s="4"/>
      <c r="L5" s="3"/>
      <c r="M5" s="3"/>
      <c r="N5" s="3"/>
      <c r="O5" s="4"/>
    </row>
    <row r="6" spans="1:19" x14ac:dyDescent="0.3">
      <c r="C6" s="2"/>
      <c r="D6" s="2"/>
      <c r="E6" s="2"/>
      <c r="F6" s="34"/>
      <c r="G6" s="35"/>
      <c r="H6" s="7" t="s">
        <v>9</v>
      </c>
      <c r="I6" s="3"/>
      <c r="J6" s="4"/>
      <c r="L6" s="3"/>
      <c r="M6" s="3"/>
      <c r="N6" s="3"/>
      <c r="O6" s="4"/>
    </row>
    <row r="7" spans="1:19" x14ac:dyDescent="0.3">
      <c r="C7" s="4"/>
      <c r="D7" s="4"/>
      <c r="E7" s="4"/>
      <c r="F7" s="4"/>
      <c r="G7" s="4"/>
      <c r="H7" s="3"/>
      <c r="I7" s="3"/>
      <c r="J7" s="4"/>
      <c r="L7" s="3"/>
      <c r="M7" s="3"/>
      <c r="N7" s="3"/>
      <c r="O7" s="4"/>
    </row>
    <row r="8" spans="1:19" x14ac:dyDescent="0.3">
      <c r="A8" s="38" t="s">
        <v>79</v>
      </c>
      <c r="B8" s="39"/>
      <c r="C8" s="39"/>
      <c r="D8" s="39"/>
      <c r="E8" s="39"/>
      <c r="F8" s="39"/>
      <c r="O8" s="4"/>
    </row>
    <row r="9" spans="1:19" ht="16.05" customHeight="1" x14ac:dyDescent="0.3">
      <c r="A9" s="40" t="s">
        <v>10</v>
      </c>
      <c r="B9" s="40" t="s">
        <v>11</v>
      </c>
      <c r="C9" s="8"/>
      <c r="D9" s="8">
        <v>1</v>
      </c>
      <c r="E9" s="8">
        <v>2</v>
      </c>
      <c r="F9" s="8">
        <v>3</v>
      </c>
      <c r="G9" s="36" t="s">
        <v>73</v>
      </c>
      <c r="H9" s="36" t="s">
        <v>74</v>
      </c>
      <c r="I9" s="36" t="s">
        <v>75</v>
      </c>
      <c r="J9" s="36" t="s">
        <v>76</v>
      </c>
      <c r="L9" s="24"/>
      <c r="M9" s="24"/>
      <c r="N9" s="3"/>
      <c r="O9" s="3"/>
      <c r="P9" s="3"/>
      <c r="Q9" s="3"/>
      <c r="R9" s="3"/>
      <c r="S9" s="3"/>
    </row>
    <row r="10" spans="1:19" x14ac:dyDescent="0.3">
      <c r="A10" s="40"/>
      <c r="B10" s="40"/>
      <c r="C10" s="8" t="s">
        <v>12</v>
      </c>
      <c r="D10" s="8" t="s">
        <v>13</v>
      </c>
      <c r="E10" s="8" t="s">
        <v>14</v>
      </c>
      <c r="F10" s="8" t="s">
        <v>15</v>
      </c>
      <c r="G10" s="37"/>
      <c r="H10" s="37"/>
      <c r="I10" s="37"/>
      <c r="J10" s="37"/>
      <c r="L10" s="3"/>
      <c r="M10" s="3"/>
      <c r="N10" s="3"/>
      <c r="O10" s="3"/>
      <c r="P10" s="3"/>
      <c r="Q10" s="3"/>
      <c r="R10" s="3"/>
      <c r="S10" s="3"/>
    </row>
    <row r="11" spans="1:19" ht="31.95" customHeight="1" x14ac:dyDescent="0.3">
      <c r="A11" s="41" t="s">
        <v>16</v>
      </c>
      <c r="B11" s="41"/>
      <c r="C11" s="15">
        <v>1.75</v>
      </c>
      <c r="D11" s="9"/>
      <c r="E11" s="9"/>
      <c r="F11" s="9"/>
      <c r="G11" s="14">
        <f>IF(SUM(G12:G18)&gt;$C11,"Nhập sai",SUM(G12:G18))</f>
        <v>1.75</v>
      </c>
      <c r="H11" s="14">
        <f>IF(SUM(H12:H18)&gt;$C11,"Nhập sai",SUM(H12:H18))</f>
        <v>1.75</v>
      </c>
      <c r="I11" s="14">
        <f>IF(SUM(I12:I18)&gt;$C11,"Nhập sai",SUM(I12:I18))</f>
        <v>1.75</v>
      </c>
      <c r="J11" s="14">
        <f>IF(SUM(J12:J18)&gt;$C11,"Nhập sai",SUM(J12:J18))</f>
        <v>0</v>
      </c>
      <c r="L11" s="3"/>
      <c r="M11" s="25"/>
      <c r="N11" s="25"/>
      <c r="O11" s="25"/>
      <c r="P11" s="25"/>
      <c r="Q11" s="25"/>
      <c r="R11" s="25"/>
      <c r="S11" s="25"/>
    </row>
    <row r="12" spans="1:19" ht="52.8" x14ac:dyDescent="0.3">
      <c r="A12" s="10">
        <v>1</v>
      </c>
      <c r="B12" s="10" t="s">
        <v>17</v>
      </c>
      <c r="C12" s="11">
        <v>0.25</v>
      </c>
      <c r="D12" s="10" t="s">
        <v>18</v>
      </c>
      <c r="E12" s="10" t="s">
        <v>19</v>
      </c>
      <c r="F12" s="10" t="s">
        <v>20</v>
      </c>
      <c r="G12" s="13">
        <v>0.25</v>
      </c>
      <c r="H12" s="13">
        <v>0.25</v>
      </c>
      <c r="I12" s="13">
        <v>0.25</v>
      </c>
      <c r="J12" s="13"/>
      <c r="L12" s="3"/>
      <c r="M12" s="25"/>
      <c r="N12" s="25"/>
      <c r="O12" s="25"/>
      <c r="P12" s="25"/>
      <c r="Q12" s="25"/>
      <c r="R12" s="25"/>
      <c r="S12" s="25"/>
    </row>
    <row r="13" spans="1:19" ht="52.8" x14ac:dyDescent="0.3">
      <c r="A13" s="10">
        <v>2</v>
      </c>
      <c r="B13" s="10" t="s">
        <v>21</v>
      </c>
      <c r="C13" s="11">
        <v>0.25</v>
      </c>
      <c r="D13" s="10" t="s">
        <v>18</v>
      </c>
      <c r="E13" s="10" t="s">
        <v>19</v>
      </c>
      <c r="F13" s="10" t="s">
        <v>20</v>
      </c>
      <c r="G13" s="13">
        <v>0.25</v>
      </c>
      <c r="H13" s="13">
        <v>0.25</v>
      </c>
      <c r="I13" s="13">
        <v>0.25</v>
      </c>
      <c r="J13" s="13"/>
      <c r="L13" s="3" t="str">
        <f t="shared" ref="L13:L15" si="0">IF(MAX(H13:K13)&gt;D13,"Nhập sai, tối đa " &amp; D13,"")</f>
        <v/>
      </c>
      <c r="M13" s="25"/>
      <c r="N13" s="25"/>
      <c r="O13" s="25"/>
      <c r="P13" s="25"/>
      <c r="Q13" s="25"/>
      <c r="R13" s="25"/>
      <c r="S13" s="25"/>
    </row>
    <row r="14" spans="1:19" ht="52.8" x14ac:dyDescent="0.3">
      <c r="A14" s="10">
        <v>3</v>
      </c>
      <c r="B14" s="10" t="s">
        <v>22</v>
      </c>
      <c r="C14" s="11">
        <v>0.25</v>
      </c>
      <c r="D14" s="10" t="s">
        <v>18</v>
      </c>
      <c r="E14" s="10" t="s">
        <v>19</v>
      </c>
      <c r="F14" s="10" t="s">
        <v>20</v>
      </c>
      <c r="G14" s="13">
        <v>0.25</v>
      </c>
      <c r="H14" s="13">
        <v>0.25</v>
      </c>
      <c r="I14" s="13">
        <v>0.25</v>
      </c>
      <c r="J14" s="13"/>
      <c r="L14" s="3" t="str">
        <f t="shared" si="0"/>
        <v/>
      </c>
      <c r="M14" s="25"/>
      <c r="N14" s="25"/>
      <c r="O14" s="25"/>
      <c r="P14" s="25"/>
      <c r="Q14" s="25"/>
      <c r="R14" s="25"/>
      <c r="S14" s="25"/>
    </row>
    <row r="15" spans="1:19" ht="52.8" x14ac:dyDescent="0.3">
      <c r="A15" s="10">
        <v>4</v>
      </c>
      <c r="B15" s="10" t="s">
        <v>23</v>
      </c>
      <c r="C15" s="11">
        <v>0.25</v>
      </c>
      <c r="D15" s="10" t="s">
        <v>18</v>
      </c>
      <c r="E15" s="10" t="s">
        <v>19</v>
      </c>
      <c r="F15" s="10" t="s">
        <v>24</v>
      </c>
      <c r="G15" s="13">
        <v>0.25</v>
      </c>
      <c r="H15" s="13">
        <v>0.25</v>
      </c>
      <c r="I15" s="13">
        <v>0.25</v>
      </c>
      <c r="J15" s="13"/>
      <c r="L15" s="3" t="str">
        <f t="shared" si="0"/>
        <v/>
      </c>
      <c r="M15" s="25"/>
      <c r="N15" s="25"/>
      <c r="O15" s="25"/>
      <c r="P15" s="25"/>
      <c r="Q15" s="25"/>
      <c r="R15" s="25"/>
      <c r="S15" s="25"/>
    </row>
    <row r="16" spans="1:19" ht="52.8" x14ac:dyDescent="0.3">
      <c r="A16" s="10">
        <v>5</v>
      </c>
      <c r="B16" s="10" t="s">
        <v>25</v>
      </c>
      <c r="C16" s="11">
        <v>0.25</v>
      </c>
      <c r="D16" s="10" t="s">
        <v>18</v>
      </c>
      <c r="E16" s="10" t="s">
        <v>19</v>
      </c>
      <c r="F16" s="10" t="s">
        <v>20</v>
      </c>
      <c r="G16" s="13">
        <v>0.25</v>
      </c>
      <c r="H16" s="13">
        <v>0.25</v>
      </c>
      <c r="I16" s="13">
        <v>0.25</v>
      </c>
      <c r="J16" s="13"/>
      <c r="L16" s="3"/>
      <c r="M16" s="25"/>
      <c r="N16" s="25"/>
      <c r="O16" s="25"/>
      <c r="P16" s="25"/>
      <c r="Q16" s="25"/>
      <c r="R16" s="25"/>
      <c r="S16" s="3"/>
    </row>
    <row r="17" spans="1:19" ht="52.8" x14ac:dyDescent="0.3">
      <c r="A17" s="10">
        <v>6</v>
      </c>
      <c r="B17" s="10" t="s">
        <v>26</v>
      </c>
      <c r="C17" s="11">
        <v>0.25</v>
      </c>
      <c r="D17" s="10" t="s">
        <v>18</v>
      </c>
      <c r="E17" s="10" t="s">
        <v>19</v>
      </c>
      <c r="F17" s="10" t="s">
        <v>20</v>
      </c>
      <c r="G17" s="13">
        <v>0.25</v>
      </c>
      <c r="H17" s="13">
        <v>0.25</v>
      </c>
      <c r="I17" s="13">
        <v>0.25</v>
      </c>
      <c r="J17" s="13"/>
      <c r="L17" s="3" t="str">
        <f>IF(MAX(H17:K17)&gt;D17,"Nhập sai, tối đa " &amp; D17,"")</f>
        <v/>
      </c>
      <c r="M17" s="25"/>
      <c r="N17" s="25"/>
      <c r="O17" s="3"/>
      <c r="P17" s="3"/>
      <c r="Q17" s="3"/>
      <c r="R17" s="3"/>
      <c r="S17" s="3"/>
    </row>
    <row r="18" spans="1:19" ht="52.8" x14ac:dyDescent="0.3">
      <c r="A18" s="10">
        <v>7</v>
      </c>
      <c r="B18" s="11" t="s">
        <v>27</v>
      </c>
      <c r="C18" s="11">
        <v>0.25</v>
      </c>
      <c r="D18" s="10" t="s">
        <v>18</v>
      </c>
      <c r="E18" s="10" t="s">
        <v>19</v>
      </c>
      <c r="F18" s="10" t="s">
        <v>20</v>
      </c>
      <c r="G18" s="13">
        <v>0.25</v>
      </c>
      <c r="H18" s="13">
        <v>0.25</v>
      </c>
      <c r="I18" s="13">
        <v>0.25</v>
      </c>
      <c r="J18" s="13"/>
      <c r="L18" s="30" t="s">
        <v>85</v>
      </c>
      <c r="M18" s="30"/>
      <c r="N18" s="30"/>
      <c r="O18" s="30"/>
      <c r="P18" s="30"/>
      <c r="Q18" s="30"/>
      <c r="R18" s="30"/>
      <c r="S18" s="30"/>
    </row>
    <row r="19" spans="1:19" x14ac:dyDescent="0.3">
      <c r="A19" s="41" t="s">
        <v>28</v>
      </c>
      <c r="B19" s="41"/>
      <c r="C19" s="15">
        <v>1.75</v>
      </c>
      <c r="D19" s="9"/>
      <c r="E19" s="9"/>
      <c r="F19" s="9"/>
      <c r="G19" s="14">
        <f>IF(SUM(G20:G26)&gt;$C19,"Nhập sai",SUM(G20:G26))</f>
        <v>1.75</v>
      </c>
      <c r="H19" s="14">
        <f>IF(SUM(H20:H26)&gt;$C19,"Nhập sai",SUM(H20:H26))</f>
        <v>1.75</v>
      </c>
      <c r="I19" s="14">
        <f>IF(SUM(I20:I26)&gt;$C19,"Nhập sai",SUM(I20:I26))</f>
        <v>1.75</v>
      </c>
      <c r="J19" s="14">
        <f>IF(SUM(J20:J26)&gt;$C19,"Nhập sai",SUM(J20:J26))</f>
        <v>0</v>
      </c>
      <c r="L19" s="3" t="str">
        <f t="shared" ref="L19" si="1">IF(MAX(H19:K19)&gt;D19,"Nhập sai, tối đa " &amp; D19,"")</f>
        <v xml:space="preserve">Nhập sai, tối đa </v>
      </c>
      <c r="M19" s="25"/>
      <c r="N19" s="25"/>
      <c r="O19" s="3"/>
      <c r="P19" s="3"/>
      <c r="Q19" s="3"/>
      <c r="R19" s="3"/>
      <c r="S19" s="3"/>
    </row>
    <row r="20" spans="1:19" ht="52.8" x14ac:dyDescent="0.3">
      <c r="A20" s="10">
        <v>8</v>
      </c>
      <c r="B20" s="11" t="s">
        <v>29</v>
      </c>
      <c r="C20" s="11">
        <v>0.25</v>
      </c>
      <c r="D20" s="10" t="s">
        <v>18</v>
      </c>
      <c r="E20" s="10" t="s">
        <v>19</v>
      </c>
      <c r="F20" s="10" t="s">
        <v>20</v>
      </c>
      <c r="G20" s="13">
        <v>0.25</v>
      </c>
      <c r="H20" s="13">
        <v>0.25</v>
      </c>
      <c r="I20" s="13">
        <v>0.25</v>
      </c>
      <c r="J20" s="13"/>
      <c r="L20" s="3"/>
      <c r="M20" s="25"/>
      <c r="N20" s="25"/>
      <c r="O20" s="3"/>
      <c r="P20" s="3"/>
      <c r="Q20" s="3"/>
      <c r="R20" s="3"/>
      <c r="S20" s="3"/>
    </row>
    <row r="21" spans="1:19" ht="52.8" x14ac:dyDescent="0.3">
      <c r="A21" s="10">
        <v>9</v>
      </c>
      <c r="B21" s="11" t="s">
        <v>30</v>
      </c>
      <c r="C21" s="11">
        <v>0.25</v>
      </c>
      <c r="D21" s="10" t="s">
        <v>18</v>
      </c>
      <c r="E21" s="10" t="s">
        <v>19</v>
      </c>
      <c r="F21" s="10" t="s">
        <v>20</v>
      </c>
      <c r="G21" s="13">
        <v>0.25</v>
      </c>
      <c r="H21" s="13">
        <v>0.25</v>
      </c>
      <c r="I21" s="13">
        <v>0.25</v>
      </c>
      <c r="J21" s="13"/>
      <c r="L21" s="3" t="str">
        <f>IF(MAX(H21:K21)&gt;D21,"Nhập sai, tối đa " &amp; D21,"")</f>
        <v/>
      </c>
      <c r="M21" s="25"/>
      <c r="N21" s="25"/>
      <c r="O21" s="3"/>
      <c r="P21" s="3"/>
      <c r="Q21" s="3"/>
      <c r="R21" s="3"/>
      <c r="S21" s="3"/>
    </row>
    <row r="22" spans="1:19" ht="52.8" x14ac:dyDescent="0.3">
      <c r="A22" s="10">
        <v>10</v>
      </c>
      <c r="B22" s="11" t="s">
        <v>31</v>
      </c>
      <c r="C22" s="11">
        <v>0.25</v>
      </c>
      <c r="D22" s="10" t="s">
        <v>18</v>
      </c>
      <c r="E22" s="10" t="s">
        <v>19</v>
      </c>
      <c r="F22" s="10" t="s">
        <v>20</v>
      </c>
      <c r="G22" s="13">
        <v>0.25</v>
      </c>
      <c r="H22" s="13">
        <v>0.25</v>
      </c>
      <c r="I22" s="13">
        <v>0.25</v>
      </c>
      <c r="J22" s="13"/>
      <c r="L22" s="3" t="str">
        <f t="shared" ref="L22:L23" si="2">IF(MAX(H22:K22)&gt;D22,"Nhập sai, tối đa " &amp; D22,"")</f>
        <v/>
      </c>
      <c r="M22" s="26"/>
      <c r="N22" s="25"/>
      <c r="O22" s="3"/>
      <c r="P22" s="3"/>
      <c r="Q22" s="3"/>
      <c r="R22" s="3"/>
      <c r="S22" s="3"/>
    </row>
    <row r="23" spans="1:19" ht="52.8" x14ac:dyDescent="0.3">
      <c r="A23" s="10">
        <v>11</v>
      </c>
      <c r="B23" s="11" t="s">
        <v>32</v>
      </c>
      <c r="C23" s="11">
        <v>0.25</v>
      </c>
      <c r="D23" s="10" t="s">
        <v>18</v>
      </c>
      <c r="E23" s="10" t="s">
        <v>19</v>
      </c>
      <c r="F23" s="10" t="s">
        <v>20</v>
      </c>
      <c r="G23" s="13">
        <v>0.25</v>
      </c>
      <c r="H23" s="13">
        <v>0.25</v>
      </c>
      <c r="I23" s="13">
        <v>0.25</v>
      </c>
      <c r="J23" s="13"/>
      <c r="L23" s="3" t="str">
        <f t="shared" si="2"/>
        <v/>
      </c>
      <c r="N23" s="3"/>
      <c r="O23" s="3"/>
      <c r="P23" s="3"/>
      <c r="Q23" s="3"/>
      <c r="R23" s="3"/>
      <c r="S23" s="3"/>
    </row>
    <row r="24" spans="1:19" ht="52.8" x14ac:dyDescent="0.3">
      <c r="A24" s="10">
        <v>12</v>
      </c>
      <c r="B24" s="11" t="s">
        <v>33</v>
      </c>
      <c r="C24" s="11">
        <v>0.25</v>
      </c>
      <c r="D24" s="10" t="s">
        <v>18</v>
      </c>
      <c r="E24" s="10" t="s">
        <v>19</v>
      </c>
      <c r="F24" s="10" t="s">
        <v>20</v>
      </c>
      <c r="G24" s="13">
        <v>0.25</v>
      </c>
      <c r="H24" s="13">
        <v>0.25</v>
      </c>
      <c r="I24" s="13">
        <v>0.25</v>
      </c>
      <c r="J24" s="13"/>
    </row>
    <row r="25" spans="1:19" ht="52.8" x14ac:dyDescent="0.3">
      <c r="A25" s="10">
        <v>13</v>
      </c>
      <c r="B25" s="11" t="s">
        <v>34</v>
      </c>
      <c r="C25" s="11">
        <v>0.25</v>
      </c>
      <c r="D25" s="10" t="s">
        <v>18</v>
      </c>
      <c r="E25" s="10" t="s">
        <v>19</v>
      </c>
      <c r="F25" s="10" t="s">
        <v>20</v>
      </c>
      <c r="G25" s="13">
        <v>0.25</v>
      </c>
      <c r="H25" s="13">
        <v>0.25</v>
      </c>
      <c r="I25" s="13">
        <v>0.25</v>
      </c>
      <c r="J25" s="13"/>
    </row>
    <row r="26" spans="1:19" ht="52.8" x14ac:dyDescent="0.3">
      <c r="A26" s="10">
        <v>14</v>
      </c>
      <c r="B26" s="11" t="s">
        <v>35</v>
      </c>
      <c r="C26" s="11">
        <v>0.25</v>
      </c>
      <c r="D26" s="10" t="s">
        <v>18</v>
      </c>
      <c r="E26" s="10" t="s">
        <v>19</v>
      </c>
      <c r="F26" s="10" t="s">
        <v>20</v>
      </c>
      <c r="G26" s="13">
        <v>0.25</v>
      </c>
      <c r="H26" s="13">
        <v>0.25</v>
      </c>
      <c r="I26" s="13">
        <v>0.25</v>
      </c>
      <c r="J26" s="13"/>
    </row>
    <row r="27" spans="1:19" ht="31.05" customHeight="1" x14ac:dyDescent="0.3">
      <c r="A27" s="41" t="s">
        <v>36</v>
      </c>
      <c r="B27" s="41"/>
      <c r="C27" s="15">
        <v>1.25</v>
      </c>
      <c r="D27" s="9"/>
      <c r="E27" s="9"/>
      <c r="F27" s="9"/>
      <c r="G27" s="14">
        <f>IF(SUM(G28:G32)&gt;$C27,"Nhập sai",SUM(G28:G32))</f>
        <v>1.25</v>
      </c>
      <c r="H27" s="14">
        <f>IF(SUM(H28:H32)&gt;$C27,"Nhập sai",SUM(H28:H32))</f>
        <v>1.25</v>
      </c>
      <c r="I27" s="14">
        <f>IF(SUM(I28:I32)&gt;$C27,"Nhập sai",SUM(I28:I32))</f>
        <v>1.25</v>
      </c>
      <c r="J27" s="14">
        <f>IF(SUM(J28:J32)&gt;$C27,"Nhập sai",SUM(J28:J32))</f>
        <v>0</v>
      </c>
    </row>
    <row r="28" spans="1:19" ht="52.8" x14ac:dyDescent="0.3">
      <c r="A28" s="10">
        <v>15</v>
      </c>
      <c r="B28" s="11" t="s">
        <v>37</v>
      </c>
      <c r="C28" s="11">
        <v>0.25</v>
      </c>
      <c r="D28" s="10" t="s">
        <v>18</v>
      </c>
      <c r="E28" s="10" t="s">
        <v>19</v>
      </c>
      <c r="F28" s="10" t="s">
        <v>20</v>
      </c>
      <c r="G28" s="13">
        <v>0.25</v>
      </c>
      <c r="H28" s="13">
        <v>0.25</v>
      </c>
      <c r="I28" s="13">
        <v>0.25</v>
      </c>
      <c r="J28" s="13"/>
    </row>
    <row r="29" spans="1:19" ht="52.8" x14ac:dyDescent="0.3">
      <c r="A29" s="10">
        <v>16</v>
      </c>
      <c r="B29" s="11" t="s">
        <v>38</v>
      </c>
      <c r="C29" s="11">
        <v>0.25</v>
      </c>
      <c r="D29" s="10" t="s">
        <v>18</v>
      </c>
      <c r="E29" s="10" t="s">
        <v>19</v>
      </c>
      <c r="F29" s="10"/>
      <c r="G29" s="13">
        <v>0.25</v>
      </c>
      <c r="H29" s="13">
        <v>0.25</v>
      </c>
      <c r="I29" s="13">
        <v>0.25</v>
      </c>
      <c r="J29" s="13"/>
    </row>
    <row r="30" spans="1:19" ht="52.8" x14ac:dyDescent="0.3">
      <c r="A30" s="10">
        <v>17</v>
      </c>
      <c r="B30" s="11" t="s">
        <v>39</v>
      </c>
      <c r="C30" s="11">
        <v>0.25</v>
      </c>
      <c r="D30" s="10" t="s">
        <v>18</v>
      </c>
      <c r="E30" s="10" t="s">
        <v>19</v>
      </c>
      <c r="F30" s="10" t="s">
        <v>20</v>
      </c>
      <c r="G30" s="13">
        <v>0.25</v>
      </c>
      <c r="H30" s="13">
        <v>0.25</v>
      </c>
      <c r="I30" s="13">
        <v>0.25</v>
      </c>
      <c r="J30" s="13"/>
    </row>
    <row r="31" spans="1:19" ht="52.8" x14ac:dyDescent="0.3">
      <c r="A31" s="10">
        <v>18</v>
      </c>
      <c r="B31" s="11" t="s">
        <v>40</v>
      </c>
      <c r="C31" s="11">
        <v>0.25</v>
      </c>
      <c r="D31" s="10" t="s">
        <v>18</v>
      </c>
      <c r="E31" s="10" t="s">
        <v>19</v>
      </c>
      <c r="F31" s="10" t="s">
        <v>20</v>
      </c>
      <c r="G31" s="13">
        <v>0.25</v>
      </c>
      <c r="H31" s="13">
        <v>0.25</v>
      </c>
      <c r="I31" s="13">
        <v>0.25</v>
      </c>
      <c r="J31" s="13"/>
    </row>
    <row r="32" spans="1:19" ht="52.8" x14ac:dyDescent="0.3">
      <c r="A32" s="10">
        <v>19</v>
      </c>
      <c r="B32" s="11" t="s">
        <v>41</v>
      </c>
      <c r="C32" s="11">
        <v>0.25</v>
      </c>
      <c r="D32" s="10" t="s">
        <v>18</v>
      </c>
      <c r="E32" s="10" t="s">
        <v>19</v>
      </c>
      <c r="F32" s="10" t="s">
        <v>20</v>
      </c>
      <c r="G32" s="13">
        <v>0.25</v>
      </c>
      <c r="H32" s="13">
        <v>0.25</v>
      </c>
      <c r="I32" s="13">
        <v>0.25</v>
      </c>
      <c r="J32" s="13"/>
    </row>
    <row r="33" spans="1:10" ht="37.049999999999997" customHeight="1" x14ac:dyDescent="0.3">
      <c r="A33" s="41" t="s">
        <v>42</v>
      </c>
      <c r="B33" s="41"/>
      <c r="C33" s="15">
        <v>1</v>
      </c>
      <c r="D33" s="9"/>
      <c r="E33" s="9"/>
      <c r="F33" s="9"/>
      <c r="G33" s="14">
        <f>IF(SUM(G34:G37)&gt;$C33,"Nhập sai",SUM(G34:G37))</f>
        <v>1</v>
      </c>
      <c r="H33" s="14">
        <f>IF(SUM(H34:H37)&gt;$C33,"Nhập sai",SUM(H34:H37))</f>
        <v>1</v>
      </c>
      <c r="I33" s="14">
        <f>IF(SUM(I34:I37)&gt;$C33,"Nhập sai",SUM(I34:I37))</f>
        <v>1</v>
      </c>
      <c r="J33" s="14">
        <f>IF(SUM(J34:J37)&gt;$C33,"Nhập sai",SUM(J34:J37))</f>
        <v>0</v>
      </c>
    </row>
    <row r="34" spans="1:10" ht="52.8" x14ac:dyDescent="0.3">
      <c r="A34" s="10">
        <v>20</v>
      </c>
      <c r="B34" s="11" t="s">
        <v>43</v>
      </c>
      <c r="C34" s="11">
        <v>0.25</v>
      </c>
      <c r="D34" s="10" t="s">
        <v>18</v>
      </c>
      <c r="E34" s="10" t="s">
        <v>19</v>
      </c>
      <c r="F34" s="10" t="s">
        <v>20</v>
      </c>
      <c r="G34" s="13">
        <v>0.25</v>
      </c>
      <c r="H34" s="13">
        <v>0.25</v>
      </c>
      <c r="I34" s="13">
        <v>0.25</v>
      </c>
      <c r="J34" s="13"/>
    </row>
    <row r="35" spans="1:10" ht="52.8" x14ac:dyDescent="0.3">
      <c r="A35" s="10">
        <v>21</v>
      </c>
      <c r="B35" s="11" t="s">
        <v>44</v>
      </c>
      <c r="C35" s="11">
        <v>0.25</v>
      </c>
      <c r="D35" s="10" t="s">
        <v>18</v>
      </c>
      <c r="E35" s="10" t="s">
        <v>19</v>
      </c>
      <c r="F35" s="10" t="s">
        <v>20</v>
      </c>
      <c r="G35" s="13">
        <v>0.25</v>
      </c>
      <c r="H35" s="13">
        <v>0.25</v>
      </c>
      <c r="I35" s="13">
        <v>0.25</v>
      </c>
      <c r="J35" s="13"/>
    </row>
    <row r="36" spans="1:10" ht="52.8" x14ac:dyDescent="0.3">
      <c r="A36" s="10">
        <v>22</v>
      </c>
      <c r="B36" s="11" t="s">
        <v>45</v>
      </c>
      <c r="C36" s="11">
        <v>0.25</v>
      </c>
      <c r="D36" s="10" t="s">
        <v>18</v>
      </c>
      <c r="E36" s="10" t="s">
        <v>19</v>
      </c>
      <c r="F36" s="10" t="s">
        <v>20</v>
      </c>
      <c r="G36" s="13">
        <v>0.25</v>
      </c>
      <c r="H36" s="13">
        <v>0.25</v>
      </c>
      <c r="I36" s="13">
        <v>0.25</v>
      </c>
      <c r="J36" s="13"/>
    </row>
    <row r="37" spans="1:10" ht="52.8" x14ac:dyDescent="0.3">
      <c r="A37" s="10">
        <v>23</v>
      </c>
      <c r="B37" s="11" t="s">
        <v>46</v>
      </c>
      <c r="C37" s="11">
        <v>0.25</v>
      </c>
      <c r="D37" s="10" t="s">
        <v>18</v>
      </c>
      <c r="E37" s="10" t="s">
        <v>19</v>
      </c>
      <c r="F37" s="10" t="s">
        <v>20</v>
      </c>
      <c r="G37" s="13">
        <v>0.25</v>
      </c>
      <c r="H37" s="13">
        <v>0.25</v>
      </c>
      <c r="I37" s="13">
        <v>0.25</v>
      </c>
      <c r="J37" s="13"/>
    </row>
    <row r="38" spans="1:10" ht="37.049999999999997" customHeight="1" x14ac:dyDescent="0.3">
      <c r="A38" s="41" t="s">
        <v>47</v>
      </c>
      <c r="B38" s="41"/>
      <c r="C38" s="15">
        <v>1.5</v>
      </c>
      <c r="D38" s="9"/>
      <c r="E38" s="9"/>
      <c r="F38" s="9"/>
      <c r="G38" s="14">
        <f>IF(SUM(G39:G44)&gt;$C38,"Nhập sai",SUM(G39:G44))</f>
        <v>1.5</v>
      </c>
      <c r="H38" s="14">
        <f>IF(SUM(H39:H44)&gt;$C38,"Nhập sai",SUM(H39:H44))</f>
        <v>1.5</v>
      </c>
      <c r="I38" s="14">
        <f>IF(SUM(I39:I44)&gt;$C38,"Nhập sai",SUM(I39:I44))</f>
        <v>1.5</v>
      </c>
      <c r="J38" s="14">
        <f>IF(SUM(J39:J44)&gt;$C38,"Nhập sai",SUM(J39:J44))</f>
        <v>0</v>
      </c>
    </row>
    <row r="39" spans="1:10" ht="79.2" x14ac:dyDescent="0.3">
      <c r="A39" s="10">
        <v>24</v>
      </c>
      <c r="B39" s="11" t="s">
        <v>48</v>
      </c>
      <c r="C39" s="11">
        <v>0.25</v>
      </c>
      <c r="D39" s="10" t="s">
        <v>18</v>
      </c>
      <c r="E39" s="10" t="s">
        <v>19</v>
      </c>
      <c r="F39" s="10" t="s">
        <v>20</v>
      </c>
      <c r="G39" s="13">
        <v>0.25</v>
      </c>
      <c r="H39" s="13">
        <v>0.25</v>
      </c>
      <c r="I39" s="13">
        <v>0.25</v>
      </c>
      <c r="J39" s="13"/>
    </row>
    <row r="40" spans="1:10" ht="52.8" x14ac:dyDescent="0.3">
      <c r="A40" s="10">
        <v>25</v>
      </c>
      <c r="B40" s="11" t="s">
        <v>49</v>
      </c>
      <c r="C40" s="11">
        <v>0.25</v>
      </c>
      <c r="D40" s="10" t="s">
        <v>18</v>
      </c>
      <c r="E40" s="10" t="s">
        <v>19</v>
      </c>
      <c r="F40" s="10" t="s">
        <v>20</v>
      </c>
      <c r="G40" s="13">
        <v>0.25</v>
      </c>
      <c r="H40" s="13">
        <v>0.25</v>
      </c>
      <c r="I40" s="13">
        <v>0.25</v>
      </c>
      <c r="J40" s="13"/>
    </row>
    <row r="41" spans="1:10" ht="52.8" x14ac:dyDescent="0.3">
      <c r="A41" s="10">
        <v>26</v>
      </c>
      <c r="B41" s="11" t="s">
        <v>50</v>
      </c>
      <c r="C41" s="11">
        <v>0.25</v>
      </c>
      <c r="D41" s="10" t="s">
        <v>18</v>
      </c>
      <c r="E41" s="10" t="s">
        <v>19</v>
      </c>
      <c r="F41" s="10" t="s">
        <v>20</v>
      </c>
      <c r="G41" s="13">
        <v>0.25</v>
      </c>
      <c r="H41" s="13">
        <v>0.25</v>
      </c>
      <c r="I41" s="13">
        <v>0.25</v>
      </c>
      <c r="J41" s="13"/>
    </row>
    <row r="42" spans="1:10" ht="79.2" x14ac:dyDescent="0.3">
      <c r="A42" s="10">
        <v>27</v>
      </c>
      <c r="B42" s="11" t="s">
        <v>51</v>
      </c>
      <c r="C42" s="11">
        <v>0.25</v>
      </c>
      <c r="D42" s="10" t="s">
        <v>18</v>
      </c>
      <c r="E42" s="10" t="s">
        <v>19</v>
      </c>
      <c r="F42" s="10" t="s">
        <v>20</v>
      </c>
      <c r="G42" s="13">
        <v>0.25</v>
      </c>
      <c r="H42" s="13">
        <v>0.25</v>
      </c>
      <c r="I42" s="13">
        <v>0.25</v>
      </c>
      <c r="J42" s="13"/>
    </row>
    <row r="43" spans="1:10" ht="52.8" x14ac:dyDescent="0.3">
      <c r="A43" s="10">
        <v>28</v>
      </c>
      <c r="B43" s="11" t="s">
        <v>52</v>
      </c>
      <c r="C43" s="11">
        <v>0.25</v>
      </c>
      <c r="D43" s="10" t="s">
        <v>18</v>
      </c>
      <c r="E43" s="10" t="s">
        <v>19</v>
      </c>
      <c r="F43" s="10" t="s">
        <v>20</v>
      </c>
      <c r="G43" s="13">
        <v>0.25</v>
      </c>
      <c r="H43" s="13">
        <v>0.25</v>
      </c>
      <c r="I43" s="13">
        <v>0.25</v>
      </c>
      <c r="J43" s="13"/>
    </row>
    <row r="44" spans="1:10" ht="66" x14ac:dyDescent="0.3">
      <c r="A44" s="10">
        <v>28</v>
      </c>
      <c r="B44" s="11" t="s">
        <v>53</v>
      </c>
      <c r="C44" s="11">
        <v>0.25</v>
      </c>
      <c r="D44" s="10" t="s">
        <v>18</v>
      </c>
      <c r="E44" s="10" t="s">
        <v>19</v>
      </c>
      <c r="F44" s="10" t="s">
        <v>20</v>
      </c>
      <c r="G44" s="13">
        <v>0.25</v>
      </c>
      <c r="H44" s="13">
        <v>0.25</v>
      </c>
      <c r="I44" s="13">
        <v>0.25</v>
      </c>
      <c r="J44" s="13"/>
    </row>
    <row r="45" spans="1:10" ht="31.95" customHeight="1" x14ac:dyDescent="0.3">
      <c r="A45" s="41" t="s">
        <v>54</v>
      </c>
      <c r="B45" s="41"/>
      <c r="C45" s="15">
        <v>1</v>
      </c>
      <c r="D45" s="9"/>
      <c r="E45" s="9"/>
      <c r="F45" s="9"/>
      <c r="G45" s="14">
        <f>IF(SUM(G46:G49)&gt;$C45,"Nhập sai",SUM(G46:G49))</f>
        <v>1</v>
      </c>
      <c r="H45" s="14">
        <f>IF(SUM(H46:H49)&gt;$C45,"Nhập sai",SUM(H46:H49))</f>
        <v>1</v>
      </c>
      <c r="I45" s="14">
        <f>IF(SUM(I46:I49)&gt;$C45,"Nhập sai",SUM(I46:I49))</f>
        <v>1</v>
      </c>
      <c r="J45" s="14">
        <f>IF(SUM(J46:J49)&gt;$C45,"Nhập sai",SUM(J46:J49))</f>
        <v>0</v>
      </c>
    </row>
    <row r="46" spans="1:10" ht="52.8" x14ac:dyDescent="0.3">
      <c r="A46" s="10">
        <v>29</v>
      </c>
      <c r="B46" s="11" t="s">
        <v>55</v>
      </c>
      <c r="C46" s="11">
        <v>0.25</v>
      </c>
      <c r="D46" s="10" t="s">
        <v>18</v>
      </c>
      <c r="E46" s="10" t="s">
        <v>19</v>
      </c>
      <c r="F46" s="10" t="s">
        <v>20</v>
      </c>
      <c r="G46" s="13">
        <v>0.25</v>
      </c>
      <c r="H46" s="13">
        <v>0.25</v>
      </c>
      <c r="I46" s="13">
        <v>0.25</v>
      </c>
      <c r="J46" s="13"/>
    </row>
    <row r="47" spans="1:10" ht="52.8" x14ac:dyDescent="0.3">
      <c r="A47" s="10">
        <v>30</v>
      </c>
      <c r="B47" s="11" t="s">
        <v>56</v>
      </c>
      <c r="C47" s="11">
        <v>0.25</v>
      </c>
      <c r="D47" s="10" t="s">
        <v>18</v>
      </c>
      <c r="E47" s="10" t="s">
        <v>19</v>
      </c>
      <c r="F47" s="10" t="s">
        <v>20</v>
      </c>
      <c r="G47" s="13">
        <v>0.25</v>
      </c>
      <c r="H47" s="13">
        <v>0.25</v>
      </c>
      <c r="I47" s="13">
        <v>0.25</v>
      </c>
      <c r="J47" s="13"/>
    </row>
    <row r="48" spans="1:10" ht="79.2" x14ac:dyDescent="0.3">
      <c r="A48" s="10">
        <v>31</v>
      </c>
      <c r="B48" s="11" t="s">
        <v>57</v>
      </c>
      <c r="C48" s="11">
        <v>0.25</v>
      </c>
      <c r="D48" s="10" t="s">
        <v>18</v>
      </c>
      <c r="E48" s="10" t="s">
        <v>19</v>
      </c>
      <c r="F48" s="10" t="s">
        <v>20</v>
      </c>
      <c r="G48" s="13">
        <v>0.25</v>
      </c>
      <c r="H48" s="13">
        <v>0.25</v>
      </c>
      <c r="I48" s="13">
        <v>0.25</v>
      </c>
      <c r="J48" s="13"/>
    </row>
    <row r="49" spans="1:10" ht="52.8" x14ac:dyDescent="0.3">
      <c r="A49" s="10">
        <v>32</v>
      </c>
      <c r="B49" s="11" t="s">
        <v>58</v>
      </c>
      <c r="C49" s="11">
        <v>0.25</v>
      </c>
      <c r="D49" s="10" t="s">
        <v>18</v>
      </c>
      <c r="E49" s="10" t="s">
        <v>19</v>
      </c>
      <c r="F49" s="10" t="s">
        <v>20</v>
      </c>
      <c r="G49" s="13">
        <v>0.25</v>
      </c>
      <c r="H49" s="13">
        <v>0.25</v>
      </c>
      <c r="I49" s="13">
        <v>0.25</v>
      </c>
      <c r="J49" s="13"/>
    </row>
    <row r="50" spans="1:10" ht="34.049999999999997" customHeight="1" x14ac:dyDescent="0.3">
      <c r="A50" s="41" t="s">
        <v>59</v>
      </c>
      <c r="B50" s="41"/>
      <c r="C50" s="15">
        <v>1.75</v>
      </c>
      <c r="D50" s="9"/>
      <c r="E50" s="9"/>
      <c r="F50" s="9"/>
      <c r="G50" s="14">
        <f>IF(SUM(G51:G53)&gt;$C50,"Nhập sai",SUM(G51:G53))</f>
        <v>1.75</v>
      </c>
      <c r="H50" s="14">
        <f>IF(SUM(H51:H53)&gt;$C50,"Nhập sai",SUM(H51:H53))</f>
        <v>1.75</v>
      </c>
      <c r="I50" s="14">
        <f>IF(SUM(I51:I53)&gt;$C50,"Nhập sai",SUM(I51:I53))</f>
        <v>1.75</v>
      </c>
      <c r="J50" s="14">
        <f>IF(SUM(J51:J53)&gt;$C50,"Nhập sai",SUM(J51:J53))</f>
        <v>0</v>
      </c>
    </row>
    <row r="51" spans="1:10" ht="52.8" x14ac:dyDescent="0.3">
      <c r="A51" s="10">
        <v>33</v>
      </c>
      <c r="B51" s="10" t="s">
        <v>70</v>
      </c>
      <c r="C51" s="12">
        <v>0.75</v>
      </c>
      <c r="D51" s="10" t="s">
        <v>60</v>
      </c>
      <c r="E51" s="10" t="s">
        <v>61</v>
      </c>
      <c r="F51" s="10" t="s">
        <v>62</v>
      </c>
      <c r="G51" s="13">
        <v>0.75</v>
      </c>
      <c r="H51" s="13">
        <v>0.75</v>
      </c>
      <c r="I51" s="13">
        <v>0.75</v>
      </c>
      <c r="J51" s="13"/>
    </row>
    <row r="52" spans="1:10" ht="66" x14ac:dyDescent="0.3">
      <c r="A52" s="10">
        <v>34</v>
      </c>
      <c r="B52" s="11" t="s">
        <v>63</v>
      </c>
      <c r="C52" s="12">
        <v>0.5</v>
      </c>
      <c r="D52" s="10" t="s">
        <v>64</v>
      </c>
      <c r="E52" s="10" t="s">
        <v>65</v>
      </c>
      <c r="F52" s="10" t="s">
        <v>66</v>
      </c>
      <c r="G52" s="13">
        <v>0.5</v>
      </c>
      <c r="H52" s="13">
        <v>0.5</v>
      </c>
      <c r="I52" s="13">
        <v>0.5</v>
      </c>
      <c r="J52" s="13"/>
    </row>
    <row r="53" spans="1:10" ht="66" x14ac:dyDescent="0.3">
      <c r="A53" s="10">
        <v>35</v>
      </c>
      <c r="B53" s="11" t="s">
        <v>67</v>
      </c>
      <c r="C53" s="12">
        <v>0.5</v>
      </c>
      <c r="D53" s="10" t="s">
        <v>80</v>
      </c>
      <c r="E53" s="10" t="s">
        <v>68</v>
      </c>
      <c r="F53" s="10" t="s">
        <v>69</v>
      </c>
      <c r="G53" s="13">
        <v>0.5</v>
      </c>
      <c r="H53" s="13">
        <v>0.5</v>
      </c>
      <c r="I53" s="13">
        <v>0.5</v>
      </c>
      <c r="J53" s="13"/>
    </row>
    <row r="54" spans="1:10" s="19" customFormat="1" ht="28.05" customHeight="1" x14ac:dyDescent="0.3">
      <c r="A54" s="17"/>
      <c r="B54" s="16" t="s">
        <v>71</v>
      </c>
      <c r="C54" s="17">
        <f>SUM(C50,C45,C38,C33,C27,C19,C11)</f>
        <v>10</v>
      </c>
      <c r="D54" s="17"/>
      <c r="E54" s="17"/>
      <c r="F54" s="18" t="s">
        <v>72</v>
      </c>
      <c r="G54" s="17">
        <f>SUM(G50,G45,G38,G33,G27,G19,G11)</f>
        <v>10</v>
      </c>
      <c r="H54" s="17">
        <f>SUM(H50,H45,H38,H33,H27,H19,H11)</f>
        <v>10</v>
      </c>
      <c r="I54" s="17">
        <f>SUM(I50,I45,I38,I33,I27,I19,I11)</f>
        <v>10</v>
      </c>
      <c r="J54" s="17">
        <f>SUM(J50,J45,J38,J33,J27,J19,J11)</f>
        <v>0</v>
      </c>
    </row>
  </sheetData>
  <sheetProtection algorithmName="SHA-512" hashValue="vZcuQxIbwQM1ar/k6WTqyUlnuj3mTViFwhNNbuD/IMU3Uis2HNcGhY0OuyJwWDUecg4TxR4jzQ22ygJ1LqVkoQ==" saltValue="FWVWWBBCl20sal2MJDRIvQ==" spinCount="100000" sheet="1" objects="1" scenarios="1"/>
  <mergeCells count="20">
    <mergeCell ref="A19:B19"/>
    <mergeCell ref="A45:B45"/>
    <mergeCell ref="A50:B50"/>
    <mergeCell ref="A27:B27"/>
    <mergeCell ref="A33:B33"/>
    <mergeCell ref="A38:B38"/>
    <mergeCell ref="L18:S18"/>
    <mergeCell ref="F2:G2"/>
    <mergeCell ref="F3:G3"/>
    <mergeCell ref="F4:G4"/>
    <mergeCell ref="F5:G5"/>
    <mergeCell ref="F6:G6"/>
    <mergeCell ref="G9:G10"/>
    <mergeCell ref="H9:H10"/>
    <mergeCell ref="I9:I10"/>
    <mergeCell ref="J9:J10"/>
    <mergeCell ref="A8:F8"/>
    <mergeCell ref="A9:A10"/>
    <mergeCell ref="B9:B10"/>
    <mergeCell ref="A11:B1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67EFF-5C3E-A544-B189-7550BF6A8668}">
  <dimension ref="A1:D8"/>
  <sheetViews>
    <sheetView workbookViewId="0">
      <selection activeCell="B24" sqref="B24"/>
    </sheetView>
  </sheetViews>
  <sheetFormatPr defaultColWidth="11.19921875" defaultRowHeight="15.6" x14ac:dyDescent="0.3"/>
  <cols>
    <col min="1" max="1" width="21.296875" customWidth="1"/>
    <col min="2" max="2" width="31.19921875" customWidth="1"/>
    <col min="3" max="3" width="29.296875" customWidth="1"/>
    <col min="4" max="4" width="23.796875" customWidth="1"/>
  </cols>
  <sheetData>
    <row r="1" spans="1:4" ht="16.8" x14ac:dyDescent="0.3">
      <c r="A1" s="21" t="s">
        <v>0</v>
      </c>
      <c r="B1" s="21" t="s">
        <v>81</v>
      </c>
      <c r="C1" s="21" t="s">
        <v>82</v>
      </c>
      <c r="D1" s="21" t="s">
        <v>4</v>
      </c>
    </row>
    <row r="2" spans="1:4" x14ac:dyDescent="0.3">
      <c r="A2" s="22"/>
      <c r="B2" s="22"/>
      <c r="C2" s="22"/>
      <c r="D2" s="22"/>
    </row>
    <row r="3" spans="1:4" x14ac:dyDescent="0.3">
      <c r="A3" s="22"/>
      <c r="B3" s="22"/>
      <c r="C3" s="22"/>
      <c r="D3" s="22"/>
    </row>
    <row r="4" spans="1:4" x14ac:dyDescent="0.3">
      <c r="A4" s="22"/>
      <c r="B4" s="22"/>
      <c r="C4" s="22"/>
      <c r="D4" s="22"/>
    </row>
    <row r="5" spans="1:4" x14ac:dyDescent="0.3">
      <c r="A5" s="22"/>
      <c r="B5" s="22"/>
      <c r="C5" s="22"/>
      <c r="D5" s="22"/>
    </row>
    <row r="6" spans="1:4" x14ac:dyDescent="0.3">
      <c r="A6" s="22"/>
      <c r="B6" s="22"/>
      <c r="C6" s="22"/>
      <c r="D6" s="22"/>
    </row>
    <row r="7" spans="1:4" x14ac:dyDescent="0.3">
      <c r="A7" s="22"/>
      <c r="B7" s="22"/>
      <c r="C7" s="22"/>
      <c r="D7" s="22"/>
    </row>
    <row r="8" spans="1:4" x14ac:dyDescent="0.3">
      <c r="A8" s="22"/>
      <c r="B8" s="22"/>
      <c r="C8" s="22"/>
      <c r="D8" s="2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13</vt:i4>
      </vt:variant>
    </vt:vector>
  </HeadingPairs>
  <TitlesOfParts>
    <vt:vector size="15" baseType="lpstr">
      <vt:lpstr>Đánh giá</vt:lpstr>
      <vt:lpstr>Phân công</vt:lpstr>
      <vt:lpstr>'Đánh giá'!_Hlk95387418</vt:lpstr>
      <vt:lpstr>'Đánh giá'!_Hlk95404681</vt:lpstr>
      <vt:lpstr>'Đánh giá'!_Hlk95404689</vt:lpstr>
      <vt:lpstr>'Đánh giá'!_Hlk95409681</vt:lpstr>
      <vt:lpstr>'Đánh giá'!_Hlk95413684</vt:lpstr>
      <vt:lpstr>'Đánh giá'!_Hlk95414246</vt:lpstr>
      <vt:lpstr>'Đánh giá'!_Hlk95414577</vt:lpstr>
      <vt:lpstr>'Đánh giá'!_Hlk95414605</vt:lpstr>
      <vt:lpstr>'Đánh giá'!_Hlk95414608</vt:lpstr>
      <vt:lpstr>'Đánh giá'!_Hlk95414766</vt:lpstr>
      <vt:lpstr>'Đánh giá'!_Hlk95414794</vt:lpstr>
      <vt:lpstr>'Đánh giá'!_Hlk95414989</vt:lpstr>
      <vt:lpstr>'Đánh giá'!_Hlk95415613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Trieu An</cp:lastModifiedBy>
  <dcterms:created xsi:type="dcterms:W3CDTF">2023-12-11T04:28:48Z</dcterms:created>
  <dcterms:modified xsi:type="dcterms:W3CDTF">2026-04-20T11:00:40Z</dcterms:modified>
</cp:coreProperties>
</file>